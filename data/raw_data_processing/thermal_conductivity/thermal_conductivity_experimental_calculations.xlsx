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7f544e07281e49/My Projects/sugarcane-bagasse-steam-pasteurization-model-R-D-/data/raw_data_processing/thermal_conductivity/"/>
    </mc:Choice>
  </mc:AlternateContent>
  <xr:revisionPtr revIDLastSave="0" documentId="8_{49DE2902-AB13-4F07-9A28-45D1BA4BBF34}" xr6:coauthVersionLast="47" xr6:coauthVersionMax="47" xr10:uidLastSave="{00000000-0000-0000-0000-000000000000}"/>
  <bookViews>
    <workbookView xWindow="-120" yWindow="-120" windowWidth="20730" windowHeight="11310" activeTab="1" xr2:uid="{4F7B773F-8B6C-4A5D-9A4C-AEB658E85CF6}"/>
  </bookViews>
  <sheets>
    <sheet name="convective heat transfer" sheetId="1" r:id="rId1"/>
    <sheet name="thermal conductivit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15" i="2"/>
  <c r="B14" i="2"/>
  <c r="B13" i="2"/>
</calcChain>
</file>

<file path=xl/sharedStrings.xml><?xml version="1.0" encoding="utf-8"?>
<sst xmlns="http://schemas.openxmlformats.org/spreadsheetml/2006/main" count="28" uniqueCount="24">
  <si>
    <t>Parameter</t>
  </si>
  <si>
    <t>Value</t>
  </si>
  <si>
    <t>g</t>
  </si>
  <si>
    <r>
      <t>T</t>
    </r>
    <r>
      <rPr>
        <vertAlign val="subscript"/>
        <sz val="11"/>
        <color theme="1"/>
        <rFont val="Calibri"/>
        <family val="2"/>
        <scheme val="minor"/>
      </rPr>
      <t>s</t>
    </r>
  </si>
  <si>
    <r>
      <t>T</t>
    </r>
    <r>
      <rPr>
        <vertAlign val="subscript"/>
        <sz val="11"/>
        <color theme="1"/>
        <rFont val="Calibri"/>
        <family val="2"/>
        <scheme val="minor"/>
      </rPr>
      <t>a</t>
    </r>
  </si>
  <si>
    <t>L</t>
  </si>
  <si>
    <t>Pr</t>
  </si>
  <si>
    <t>β</t>
  </si>
  <si>
    <t>Ra</t>
  </si>
  <si>
    <t>Nu</t>
  </si>
  <si>
    <t>h</t>
  </si>
  <si>
    <t>v</t>
  </si>
  <si>
    <t>Th</t>
  </si>
  <si>
    <t>Tc</t>
  </si>
  <si>
    <t>Ta</t>
  </si>
  <si>
    <t>T1</t>
  </si>
  <si>
    <t>T2</t>
  </si>
  <si>
    <t>T3</t>
  </si>
  <si>
    <t>k</t>
  </si>
  <si>
    <t>Observed Temp</t>
  </si>
  <si>
    <t>Calculated Temp</t>
  </si>
  <si>
    <t>Error minimization</t>
  </si>
  <si>
    <t>α</t>
  </si>
  <si>
    <r>
      <t>kf/k</t>
    </r>
    <r>
      <rPr>
        <vertAlign val="subscript"/>
        <sz val="11"/>
        <color theme="1"/>
        <rFont val="Calibri"/>
        <family val="2"/>
        <scheme val="minor"/>
      </rPr>
      <t>air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</si>
</sst>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B943-5EF7-4F28-BEA0-A56260C9EDCF}">
  <dimension ref="B2:C14"/>
  <sheetViews>
    <sheetView workbookViewId="0">
      <selection activeCell="B19" sqref="B19"/>
    </sheetView>
  </sheetViews>
  <sheetFormatPr defaultRowHeight="15" x14ac:dyDescent="0.25"/>
  <cols>
    <col min="2" max="2" width="11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22</v>
      </c>
      <c r="C3">
        <f>2.14 *( 0.0001)</f>
        <v>2.1400000000000002E-4</v>
      </c>
    </row>
    <row r="4" spans="2:3" x14ac:dyDescent="0.25">
      <c r="B4" t="s">
        <v>2</v>
      </c>
      <c r="C4">
        <v>9.81</v>
      </c>
    </row>
    <row r="5" spans="2:3" ht="18" x14ac:dyDescent="0.35">
      <c r="B5" t="s">
        <v>3</v>
      </c>
      <c r="C5">
        <v>32</v>
      </c>
    </row>
    <row r="6" spans="2:3" ht="18" x14ac:dyDescent="0.35">
      <c r="B6" t="s">
        <v>4</v>
      </c>
      <c r="C6">
        <v>22.5</v>
      </c>
    </row>
    <row r="7" spans="2:3" x14ac:dyDescent="0.25">
      <c r="B7" t="s">
        <v>5</v>
      </c>
      <c r="C7">
        <v>0.06</v>
      </c>
    </row>
    <row r="8" spans="2:3" x14ac:dyDescent="0.25">
      <c r="B8" t="s">
        <v>11</v>
      </c>
      <c r="C8">
        <v>1.5999999999999999E-5</v>
      </c>
    </row>
    <row r="9" spans="2:3" x14ac:dyDescent="0.25">
      <c r="B9" t="s">
        <v>6</v>
      </c>
      <c r="C9">
        <v>0.71</v>
      </c>
    </row>
    <row r="10" spans="2:3" ht="15.75" x14ac:dyDescent="0.25">
      <c r="B10" s="1" t="s">
        <v>7</v>
      </c>
      <c r="C10">
        <v>3.3839999999999999E-3</v>
      </c>
    </row>
    <row r="11" spans="2:3" x14ac:dyDescent="0.25">
      <c r="B11" t="s">
        <v>8</v>
      </c>
      <c r="C11">
        <v>188933</v>
      </c>
    </row>
    <row r="12" spans="2:3" x14ac:dyDescent="0.25">
      <c r="B12" t="s">
        <v>9</v>
      </c>
      <c r="C12">
        <v>12.30068</v>
      </c>
    </row>
    <row r="13" spans="2:3" ht="18" x14ac:dyDescent="0.35">
      <c r="B13" t="s">
        <v>23</v>
      </c>
      <c r="C13">
        <v>2.5000000000000001E-2</v>
      </c>
    </row>
    <row r="14" spans="2:3" x14ac:dyDescent="0.25">
      <c r="B14" t="s">
        <v>10</v>
      </c>
      <c r="C14">
        <v>5.1252820000000003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8F98-78BA-4115-A874-29E3628D1042}">
  <dimension ref="B2:D15"/>
  <sheetViews>
    <sheetView tabSelected="1" workbookViewId="0">
      <selection activeCell="I15" sqref="I15"/>
    </sheetView>
  </sheetViews>
  <sheetFormatPr defaultRowHeight="15" x14ac:dyDescent="0.25"/>
  <cols>
    <col min="2" max="2" width="14.85546875" customWidth="1"/>
    <col min="3" max="3" width="15" customWidth="1"/>
    <col min="4" max="4" width="18.140625" customWidth="1"/>
  </cols>
  <sheetData>
    <row r="2" spans="2:4" x14ac:dyDescent="0.25">
      <c r="B2" t="s">
        <v>0</v>
      </c>
      <c r="C2" t="s">
        <v>1</v>
      </c>
    </row>
    <row r="3" spans="2:4" x14ac:dyDescent="0.25">
      <c r="B3" t="s">
        <v>12</v>
      </c>
      <c r="C3">
        <v>85</v>
      </c>
    </row>
    <row r="4" spans="2:4" x14ac:dyDescent="0.25">
      <c r="B4" t="s">
        <v>13</v>
      </c>
      <c r="C4">
        <v>52</v>
      </c>
    </row>
    <row r="5" spans="2:4" x14ac:dyDescent="0.25">
      <c r="B5" t="s">
        <v>10</v>
      </c>
      <c r="C5">
        <v>5.1253000000000002</v>
      </c>
    </row>
    <row r="6" spans="2:4" x14ac:dyDescent="0.25">
      <c r="B6" t="s">
        <v>14</v>
      </c>
      <c r="C6">
        <v>22</v>
      </c>
    </row>
    <row r="7" spans="2:4" x14ac:dyDescent="0.25">
      <c r="B7" t="s">
        <v>5</v>
      </c>
      <c r="C7">
        <v>0.06</v>
      </c>
    </row>
    <row r="8" spans="2:4" x14ac:dyDescent="0.25">
      <c r="B8" t="s">
        <v>15</v>
      </c>
      <c r="C8">
        <v>81</v>
      </c>
    </row>
    <row r="9" spans="2:4" x14ac:dyDescent="0.25">
      <c r="B9" t="s">
        <v>16</v>
      </c>
      <c r="C9">
        <v>71.5</v>
      </c>
    </row>
    <row r="10" spans="2:4" x14ac:dyDescent="0.25">
      <c r="B10" t="s">
        <v>17</v>
      </c>
      <c r="C10">
        <v>66</v>
      </c>
    </row>
    <row r="11" spans="2:4" x14ac:dyDescent="0.25">
      <c r="B11" t="s">
        <v>18</v>
      </c>
      <c r="C11">
        <v>10</v>
      </c>
    </row>
    <row r="12" spans="2:4" x14ac:dyDescent="0.25">
      <c r="B12" t="s">
        <v>19</v>
      </c>
      <c r="C12" t="s">
        <v>20</v>
      </c>
      <c r="D12" t="s">
        <v>21</v>
      </c>
    </row>
    <row r="13" spans="2:4" x14ac:dyDescent="0.25">
      <c r="B13">
        <f>C8</f>
        <v>81</v>
      </c>
    </row>
    <row r="14" spans="2:4" x14ac:dyDescent="0.25">
      <c r="B14">
        <f>C9</f>
        <v>71.5</v>
      </c>
    </row>
    <row r="15" spans="2:4" x14ac:dyDescent="0.25">
      <c r="B15">
        <f>C10</f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convective heat transfer</vt:lpstr>
      <vt:lpstr>thermal conductivity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2026-06-25T10:20:08Z</dcterms:created>
  <dcterms:modified xsi:type="dcterms:W3CDTF">2026-06-25T11:17:26Z</dcterms:modified>
</cp:coreProperties>
</file>